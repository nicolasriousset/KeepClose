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ier" sheetId="1" state="visible" r:id="rId3"/>
    <sheet name="Révision matérielle" sheetId="2" state="visible" r:id="rId4"/>
    <sheet name="Vérif. avant acha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<sst xmlns="http://schemas.openxmlformats.org/spreadsheetml/2006/main" count="293" uniqueCount="218">
  <si>
    <t xml:space="preserve">Panier AliExpress — KeepClose v2 (proto firmware + proto produit)</t>
  </si>
  <si>
    <t xml:space="preserve">Source : _bmad-output/planning-artifacts/hardware-exploration-2026-04-27.md  •  Date : 2026-04-30, mise à jour 2026-05-01 (balises LiPo)  •  Total estimé livré (hors port) : voir cellule grand total</t>
  </si>
  <si>
    <t xml:space="preserve">Phase</t>
  </si>
  <si>
    <t xml:space="preserve">Composant</t>
  </si>
  <si>
    <t xml:space="preserve">Spécification</t>
  </si>
  <si>
    <t xml:space="preserve">Qté</t>
  </si>
  <si>
    <t xml:space="preserve">Prix unit. (€)</t>
  </si>
  <si>
    <t xml:space="preserve">Sous-total (€)</t>
  </si>
  <si>
    <t xml:space="preserve">Recherche AliExpress</t>
  </si>
  <si>
    <t xml:space="preserve">Statut</t>
  </si>
  <si>
    <t xml:space="preserve">Notes &amp; vérifications</t>
  </si>
  <si>
    <t xml:space="preserve">PHASE 1 — Proto firmware rapide (validation UX immédiate)</t>
  </si>
  <si>
    <t xml:space="preserve">M5StickC Plus 2</t>
  </si>
  <si>
    <t xml:space="preserve">ESP32-PICO-V3-02, écran 1.14" TFT, bouton, USB-C, batterie 200mAh, IMU</t>
  </si>
  <si>
    <t xml:space="preserve">Rechercher : M5StickC Plus 2</t>
  </si>
  <si>
    <t xml:space="preserve">Essentiel</t>
  </si>
  <si>
    <t xml:space="preserve">Plateforme proto firmware sans refacto code (ESP32 + NimBLE Arduino). Préférer le store officiel M5Stack.</t>
  </si>
  <si>
    <t xml:space="preserve">M5Stack Vibrator HAT</t>
  </si>
  <si>
    <t xml:space="preserve">Module HAT enfichable, moteur coin, contrôle GPIO direct</t>
  </si>
  <si>
    <t xml:space="preserve">Rechercher : M5Stack Vibrator Hat</t>
  </si>
  <si>
    <t xml:space="preserve">Brochage compatible M5StickC Plus 2. Si rupture, alternative : souder vibreur disque 10mm sur les pins GPIO du Plus 2.</t>
  </si>
  <si>
    <t xml:space="preserve">iTag CC2541 (lot)</t>
  </si>
  <si>
    <t xml:space="preserve">BLE 4.0, buzzer ~65 dB, bouton, profil Immediate Alert 0x1802 (TI CC2541)</t>
  </si>
  <si>
    <t xml:space="preserve">Rechercher : iTag CC2541 anti lost tracker</t>
  </si>
  <si>
    <t xml:space="preserve">Commander en LOT UNIQUE chez le même vendeur (réduit la variance chipset). Vérifier mention 'CC2541' explicite, sinon possible NRF51822 ou TLSR8251.</t>
  </si>
  <si>
    <t xml:space="preserve">Sous-total PHASE 1</t>
  </si>
  <si>
    <t xml:space="preserve">PHASE 2 — Proto produit nRF52840 (cible v2)</t>
  </si>
  <si>
    <t xml:space="preserve">Seeed XIAO nRF52840</t>
  </si>
  <si>
    <t xml:space="preserve">MCU nRF52840 + BLE 5.0 + chargeur LiPo BQ25101 + USB-C — version CLASSIQUE (PAS Sense)</t>
  </si>
  <si>
    <t xml:space="preserve">Rechercher : Seeed XIAO nRF52840</t>
  </si>
  <si>
    <t xml:space="preserve">Privilégier 'Seeed Studio Official Store' sur AliExpress. NE PAS prendre la 'Sense' (IMU + flash QSPI = +5µA en deep sleep, surcoût inutile). 6u = BOM (4) + 2 spares.</t>
  </si>
  <si>
    <t xml:space="preserve">Vibreur disque coin 10mm</t>
  </si>
  <si>
    <t xml:space="preserve">Coin vibration motor Ø10×3 mm, 3V, ~80mA, 12000 RPM</t>
  </si>
  <si>
    <t xml:space="preserve">Rechercher : coin vibration motor 10mm 3V</t>
  </si>
  <si>
    <t xml:space="preserve">Souder fils silicone fins. Driver via 2N2222 obligatoire (GPIO nRF52840 ≤15mA).</t>
  </si>
  <si>
    <t xml:space="preserve">Buzzer piézo passif Ø9mm</t>
  </si>
  <si>
    <t xml:space="preserve">Buzzer piézo PASSIF (sans oscillateur), 3V, traversant Ø9mm, contrôle PWM 2-4 kHz</t>
  </si>
  <si>
    <t xml:space="preserve">Rechercher : passive piezo buzzer 9mm 3V</t>
  </si>
  <si>
    <t xml:space="preserve">ATTENTION : doit être 'passif' (passive). Un buzzer 'actif' génère un son fixe, incompatible avec encodage N de bips.</t>
  </si>
  <si>
    <t xml:space="preserve">Buzzer piézo passif Ø14mm</t>
  </si>
  <si>
    <t xml:space="preserve">Variante plus puissante ~85-90 dB pour test balise (objectif doc ≥85 dB à 30cm)</t>
  </si>
  <si>
    <t xml:space="preserve">Rechercher : passive piezo buzzer 14mm transducer</t>
  </si>
  <si>
    <t xml:space="preserve">Recommandé</t>
  </si>
  <si>
    <t xml:space="preserve">Le Ø9mm risque de plafonner à ~75-80 dB dans un boîtier. Ø14mm = filet de sécurité pour atteindre la cible.</t>
  </si>
  <si>
    <t xml:space="preserve">Boutons tactiles SMD 4mm</t>
  </si>
  <si>
    <t xml:space="preserve">Tactile switch SMD 4×4×1.5 mm (lot ≥20)</t>
  </si>
  <si>
    <t xml:space="preserve">Rechercher : tactile push button 4mm SMD pack</t>
  </si>
  <si>
    <t xml:space="preserve">2 boutons sur le bracelet + 1 par balise. Pull-up via résistance 10kΩ ou pull-up interne nRF52.</t>
  </si>
  <si>
    <t xml:space="preserve">Transistors NPN 2N2222 (lot)</t>
  </si>
  <si>
    <t xml:space="preserve">Boîtier TO-92, Ic max 800mA, hFE ≥100</t>
  </si>
  <si>
    <t xml:space="preserve">Rechercher : 2N2222 transistor TO-92 100pcs</t>
  </si>
  <si>
    <t xml:space="preserve">Driver vibreur (~80mA) et buzzer si &gt; 15mA. Lot de 50-100 = stock à vie.</t>
  </si>
  <si>
    <t xml:space="preserve">Résistances 10kΩ 1/4W (lot)</t>
  </si>
  <si>
    <t xml:space="preserve">Pull-up boutons + base transistor PMW</t>
  </si>
  <si>
    <t xml:space="preserve">Rechercher : 10k resistor 1/4w 100pcs pack</t>
  </si>
  <si>
    <t xml:space="preserve">Lot de 100 ou kit assorti.</t>
  </si>
  <si>
    <t xml:space="preserve">Résistances 1kΩ 1/4W (lot)</t>
  </si>
  <si>
    <t xml:space="preserve">Base transistor NPN (limitation Ib)</t>
  </si>
  <si>
    <t xml:space="preserve">Rechercher : 1k resistor 1/4w 100pcs pack</t>
  </si>
  <si>
    <t xml:space="preserve">ABSENT de la BOM document. Indispensable pour driver 2N2222 proprement (Ib ≈ 3mA depuis GPIO 3.3V).</t>
  </si>
  <si>
    <t xml:space="preserve">LiPo 200mAh 402030 + JST 1.25mm</t>
  </si>
  <si>
    <t xml:space="preserve">4×20×30mm, connecteur JST PH 1.25mm 2-pin</t>
  </si>
  <si>
    <t xml:space="preserve">Rechercher : lipo 200mAh 402030 JST 1.25mm</t>
  </si>
  <si>
    <t xml:space="preserve">Décision 2026-05-01 : LiPo aussi sur les balises (au lieu de CR2032). 5 unités = 1 bracelet + 3 balises + 1 spare. VÉRIFIER JST 1.25mm (PAS 2.0mm) — connecteur natif XIAO.</t>
  </si>
  <si>
    <t xml:space="preserve">LiPo 500mAh 503035 + JST 1.25mm</t>
  </si>
  <si>
    <t xml:space="preserve">Variante plus grosse pour test autonomie 7-10 jours</t>
  </si>
  <si>
    <t xml:space="preserve">Rechercher : lipo 500mAh 503035 JST 1.25mm</t>
  </si>
  <si>
    <t xml:space="preserve">Optionnel</t>
  </si>
  <si>
    <t xml:space="preserve">Si autonomie 200mAh marginale en conditions réelles. Boîtier 3D légèrement plus gros.</t>
  </si>
  <si>
    <t xml:space="preserve">Pile CR2032 (lot 10)</t>
  </si>
  <si>
    <t xml:space="preserve">3V Lithium 220mAh</t>
  </si>
  <si>
    <t xml:space="preserve">Rechercher : CR2032 lithium battery 10pcs</t>
  </si>
  <si>
    <t xml:space="preserve">Reclassé Optionnel 2026-05-01 — décision balises LiPo rechargeable. Garder pour backup ou expérimentations basse consommation.</t>
  </si>
  <si>
    <t xml:space="preserve">Support CR2032 CMS (lot 5+)</t>
  </si>
  <si>
    <t xml:space="preserve">Support pile bouton à souder, vertical ou horizontal CMS</t>
  </si>
  <si>
    <t xml:space="preserve">Rechercher : CR2032 holder smd</t>
  </si>
  <si>
    <t xml:space="preserve">Reclassé Optionnel 2026-05-01 — décision balises LiPo rechargeable. Garder si on commande aussi des piles CR2032 pour backup.</t>
  </si>
  <si>
    <t xml:space="preserve">Condensateur tantale 100µF/10V</t>
  </si>
  <si>
    <t xml:space="preserve">Découplage CR2032 pendant pics courant BLE TX (5-10mA, 2-3ms)</t>
  </si>
  <si>
    <t xml:space="preserve">Rechercher : 100uF 10V tantalum capacitor</t>
  </si>
  <si>
    <t xml:space="preserve">Reclassé Optionnel 2026-05-01 — décision balises LiPo (impédance interne basse, pas de chute de tension sur pic BLE TX). Garder pour usage général découplage si expérimentations basse conso CR2032.</t>
  </si>
  <si>
    <t xml:space="preserve">Bracelet silicone 20mm</t>
  </si>
  <si>
    <t xml:space="preserve">Sangle montre standard 20mm, attaches barrettes</t>
  </si>
  <si>
    <t xml:space="preserve">Rechercher : silicone watch strap 20mm</t>
  </si>
  <si>
    <t xml:space="preserve">2u = 1 utilisateur + spare. Boîtier 3D 30×20×10mm s'y clippe via barrettes 20mm standards.</t>
  </si>
  <si>
    <t xml:space="preserve">Câbles silicone 28-30AWG (kit)</t>
  </si>
  <si>
    <t xml:space="preserve">Kit fils flexibles silicone, plusieurs couleurs, 28-30AWG</t>
  </si>
  <si>
    <t xml:space="preserve">Rechercher : silicone wire 30AWG kit colors</t>
  </si>
  <si>
    <t xml:space="preserve">ABSENT de la BOM document. Indispensable pour soudures vibreur/buzzer/batterie sur XIAO. Préférer silicone (souple) vs PVC (rigide).</t>
  </si>
  <si>
    <t xml:space="preserve">Connecteurs JST 1.25mm pré-câblés</t>
  </si>
  <si>
    <t xml:space="preserve">Mâle + femelle 2-pin avec fils 100mm (lot 10)</t>
  </si>
  <si>
    <t xml:space="preserve">Rechercher : JST 1.25mm 2 pin connector cable 10cm</t>
  </si>
  <si>
    <t xml:space="preserve">Au cas où la LiPo livrée n'a pas le bon connecteur, ou pour brancher batterie de test.</t>
  </si>
  <si>
    <t xml:space="preserve">Plaque perfboard 3×7 cm (lot 5)</t>
  </si>
  <si>
    <t xml:space="preserve">Plaque trous 2.54mm pour assemblage proto</t>
  </si>
  <si>
    <t xml:space="preserve">Rechercher : perfboard 3x7cm prototype 5pcs</t>
  </si>
  <si>
    <t xml:space="preserve">Pour prototypage en dur avant boîtier 3D. Permet tests stables.</t>
  </si>
  <si>
    <t xml:space="preserve">Boîtier ABS 30×40×15mm (lot 5)</t>
  </si>
  <si>
    <t xml:space="preserve">Mini boîtier plastique pour balise CR2032</t>
  </si>
  <si>
    <t xml:space="preserve">Rechercher : small plastic enclosure 30x40mm</t>
  </si>
  <si>
    <t xml:space="preserve">Si pas d'imprimante 3D disponible immédiatement, alternative low-cost pour caser CR2032 + XIAO + buzzer.</t>
  </si>
  <si>
    <t xml:space="preserve">Sous-total PHASE 2</t>
  </si>
  <si>
    <t xml:space="preserve">TOTAL ESTIMÉ COMMANDE (hors port)</t>
  </si>
  <si>
    <t xml:space="preserve">Détail par statut</t>
  </si>
  <si>
    <t xml:space="preserve">Total Essentiel</t>
  </si>
  <si>
    <t xml:space="preserve">Total Recommandé</t>
  </si>
  <si>
    <t xml:space="preserve">Total Optionnel</t>
  </si>
  <si>
    <t xml:space="preserve">Révision critique des choix matériels — KeepClose v2</t>
  </si>
  <si>
    <t xml:space="preserve">Lecture critique du document hardware-exploration-2026-04-27.md (mise à jour 2026-04-28).</t>
  </si>
  <si>
    <t xml:space="preserve">✅ POINTS SOLIDES — Choix qui tiennent à la critique</t>
  </si>
  <si>
    <t xml:space="preserve">Sujet</t>
  </si>
  <si>
    <t xml:space="preserve">Analyse</t>
  </si>
  <si>
    <t xml:space="preserve">Décision</t>
  </si>
  <si>
    <t xml:space="preserve">Convergence sur XIAO nRF52840</t>
  </si>
  <si>
    <t xml:space="preserve">Décision juste : un seul SDK, une seule chaîne CI, certif CE module acquise (CE+FCC+AOC Seeed). Le 5µA deep sleep vs ~150µA ESP32 est le vrai différentiateur sur l'objectif autonomie 7-10 jours. Le bracelet 200mAh y arrive sans astuce.</t>
  </si>
  <si>
    <t xml:space="preserve">Conserver</t>
  </si>
  <si>
    <t xml:space="preserve">Disqualification trackers grand public</t>
  </si>
  <si>
    <t xml:space="preserve">Fitbit/Garmin/Mi Band : BLE scan arbitraire verrouillé, conclusion correcte. Tile/Chipolo : fermés. Ruuvi : pas de buzzer. Le tableau d'exclusion est exhaustif — pas de piste oubliée détectée.</t>
  </si>
  <si>
    <t xml:space="preserve">Stratégie 2 phases (iTag → custom)</t>
  </si>
  <si>
    <t xml:space="preserve">Excellente : sépare validation UX (iTag, semaine 1) du proto produit (XIAO, semaine 4-8). Le coût iTag (~60€) est faible vs le risque d'investir dans un PCB custom avant d'avoir validé l'UX latence/volume sonore.</t>
  </si>
  <si>
    <t xml:space="preserve">Choix CR2032 + advertising 1s pour balise</t>
  </si>
  <si>
    <t xml:space="preserve">Calcul autonomie ~12-18 mois cohérent avec la littérature Nordic (nRF52840 advertising tx-power 0dBm @ 1s ≈ 7-10µA moyen). Conservatif.</t>
  </si>
  <si>
    <t xml:space="preserve">⚠️ RISQUES SOUS-ESTIMÉS — À traiter avant commande / proto</t>
  </si>
  <si>
    <t xml:space="preserve">Pic courant CR2032 vs BLE TX</t>
  </si>
  <si>
    <t xml:space="preserve">Le calcul 8µA moyen est correct, mais le PIC instantané d'une trame BLE ADV est ~5-10mA pendant 2-3ms. La résistance interne d'une CR2032 vieillie (&gt;6 mois) monte à 30-50Ω → chute ~150-500mV → reset possible nRF52. Mitigation : condensateur tantale 100µF (déjà ajouté à la BOM en 'Recommandé'). Sans lui, l'autonomie 12-18 mois s'effondre à 3-6 mois en pratique.</t>
  </si>
  <si>
    <t xml:space="preserve">Action : ajouté</t>
  </si>
  <si>
    <t xml:space="preserve">Volume sonore buzzer Ø9mm</t>
  </si>
  <si>
    <t xml:space="preserve">Le doc cible ≥85 dB à 30 cm pour la balise. Un piézo Ø9mm passif délivre typiquement 75-82 dB SPL @ 10cm en condition idéale, et ENCORE moins une fois logé dans un boîtier. Risque réel de ne pas atteindre la cible. Mitigation : tester en parallèle un Ø14mm (ajouté au panier) — coût +0.30€ par balise pour sécuriser l'objectif.</t>
  </si>
  <si>
    <t xml:space="preserve">Driver transistor sans résistance de base</t>
  </si>
  <si>
    <t xml:space="preserve">La BOM document liste les NPN 2N2222 mais PAS de résistance de base 1kΩ. Un GPIO nRF52840 à 3.3V branché direct sur la base = courant Ib ≈ 30mA → destruction GPIO ou transistor en saturation profonde. Indispensable d'ajouter R_base = 1kΩ.</t>
  </si>
  <si>
    <t xml:space="preserve">Version XIAO Sense vs Classique</t>
  </si>
  <si>
    <t xml:space="preserve">Seeed vend DEUX versions de XIAO nRF52840 : 'XIAO nRF52840' et 'XIAO nRF52840 Sense'. La 'Sense' embarque un IMU LSM6DS3 + micro PDM + flash QSPI — qui ajoutent ~5µA en deep sleep et coûtent ~2€ de plus. Pour KeepClose : version classique uniquement. À spécifier explicitement à la commande.</t>
  </si>
  <si>
    <t xml:space="preserve">Action : doc commande</t>
  </si>
  <si>
    <t xml:space="preserve">iTag : variance chipset silencieuse</t>
  </si>
  <si>
    <t xml:space="preserve">Risque correctement identifié dans le doc (CC2541 vs nRF51822 vs TLSR8251). Mitigation 'lot unique' ajoutée. Mais : prévoir un sketch de discovery dynamique GATT côté bracelet AVANT réception, sinon 1 jour perdu à debugger les UUID variables. Tâche firmware à ajouter.</t>
  </si>
  <si>
    <t xml:space="preserve">Action : tâche firmware</t>
  </si>
  <si>
    <t xml:space="preserve">Latence iTag connect+write 1-3s</t>
  </si>
  <si>
    <t xml:space="preserve">Identifiée comme 'à valider UX'. Risque : si l'utilisateur malvoyant fait un appui long et que la balise sonne 3 secondes plus tard, il pense que rien ne marche et relance — la connexion se casse. À tester PRIORITAIREMENT semaine 1 avant tout autre dev. Si rejet UX → bascule directe sur XIAO custom, le proto iTag ne sert plus que de squelette de code BLE.</t>
  </si>
  <si>
    <t xml:space="preserve">Risque UX critique</t>
  </si>
  <si>
    <t xml:space="preserve">📦 AJOUTS À LA BOM — Manques détectés</t>
  </si>
  <si>
    <t xml:space="preserve">Résistances 1kΩ</t>
  </si>
  <si>
    <t xml:space="preserve">Drive base transistor NPN. Absent du doc. Coût ~1€.</t>
  </si>
  <si>
    <t xml:space="preserve">Ajouté Essentiel</t>
  </si>
  <si>
    <t xml:space="preserve">Condensateurs 100µF tantale</t>
  </si>
  <si>
    <t xml:space="preserve">Découplage CR2032 vs pic BLE TX. Absent du doc. Coût ~2€.</t>
  </si>
  <si>
    <t xml:space="preserve">Ajouté Recommandé</t>
  </si>
  <si>
    <t xml:space="preserve">Câbles silicone 28-30AWG</t>
  </si>
  <si>
    <t xml:space="preserve">Pour soudure vibreur/buzzer/batterie sur XIAO. Absent du doc. Coût ~5€.</t>
  </si>
  <si>
    <t xml:space="preserve">Au cas où la LiPo livrée a un mauvais format ou pour brancher banc de test. ~3€.</t>
  </si>
  <si>
    <t xml:space="preserve">Perfboard 3×7cm</t>
  </si>
  <si>
    <t xml:space="preserve">Assemblage stable proto avant boîtier 3D. ~3€.</t>
  </si>
  <si>
    <t xml:space="preserve">Buzzer Ø14mm</t>
  </si>
  <si>
    <t xml:space="preserve">Filet de sécurité sur le volume sonore balise. ~2€.</t>
  </si>
  <si>
    <t xml:space="preserve">LiPo 500mAh alternative</t>
  </si>
  <si>
    <t xml:space="preserve">Si l'autonomie 200mAh est marginale en conditions réelles. ~5€.</t>
  </si>
  <si>
    <t xml:space="preserve">Ajouté Optionnel</t>
  </si>
  <si>
    <t xml:space="preserve">🤔 ALTERNATIVES À RECONSIDÉRER</t>
  </si>
  <si>
    <t xml:space="preserve">nRF52832 (module E73-2G4M08S1C) pour les balises</t>
  </si>
  <si>
    <t xml:space="preserve">Le doc note que c'était l'option Winston initiale, à ~3.50€/u vs ~7.50€ pour XIAO nRF52840. Sur 3 balises = économie ~12€. Mais : pas de chargeur LiPo (inutile en CR2032), pas de USB-C natif (UART+SWD pour flasher). Verdict : la convergence sur XIAO reste justifiée au stade proto pour vitesse de dev. À reconsidérer pour la v3 commerciale uniquement.</t>
  </si>
  <si>
    <t xml:space="preserve">OK conserver XIAO</t>
  </si>
  <si>
    <t xml:space="preserve">Bangle.js 2 à 110€ — vraiment exclu ?</t>
  </si>
  <si>
    <t xml:space="preserve">Le doc l'écarte sur le prix prototypage. Mais : CE déjà acquise, écran tactile pour accompagnateur, vibreur intégré, GitHub Espruino actif. Suggestion : acheter 1 unité plus tard (en parallèle du proto XIAO) comme cible 'v3 commerciale rapide' si le PCB custom prend du retard. Pas dans le panier actuel.</t>
  </si>
  <si>
    <t xml:space="preserve">Différé v3</t>
  </si>
  <si>
    <t xml:space="preserve">Boîtier 3D personnalisé vs boîtier ABS du commerce</t>
  </si>
  <si>
    <t xml:space="preserve">Doc : '~30×20×10mm avec barrettes 20mm'. Si pas d'imprimante FDM disponible, AliExpress vend des boîtiers ABS pré-faits ~1€/u (ajouté en Optionnel). Compromis ergonomique mais débloque les tests utilisateur sans attendre le 3D.</t>
  </si>
  <si>
    <t xml:space="preserve">Optionnel ajouté</t>
  </si>
  <si>
    <t xml:space="preserve">RTC externe pour le bracelet ?</t>
  </si>
  <si>
    <t xml:space="preserve">Le doc n'aborde pas la question de l'horloge. Pour calibrer les fenêtres temporelles (ex : 'pas d'alerte la nuit'), un RTC DS3231 (~2€) serait utile. Pas critique v2 si l'usage est continu, à noter pour v2.1.</t>
  </si>
  <si>
    <t xml:space="preserve">Non ajouté</t>
  </si>
  <si>
    <t xml:space="preserve">📝 OBSERVATIONS DE COHÉRENCE PRD ↔ HARDWARE</t>
  </si>
  <si>
    <t xml:space="preserve">PRD vise autonomie bracelet ≥48h, hardware vise 7-10j</t>
  </si>
  <si>
    <t xml:space="preserve">Le hardware sur-livre par rapport au PRD (facteur 3.5×). C'est OK — buffer pour dégradation batterie, mais cible interne révisée à la hausse à 7j devrait être mise à jour dans le PRD ('autonomie ≥7j' au lieu de ≥48h) pour cohérence.</t>
  </si>
  <si>
    <t xml:space="preserve">Suggestion PRD</t>
  </si>
  <si>
    <t xml:space="preserve">PRD vise autonomie balise ≥3 mois, hardware vise 12-18 mois</t>
  </si>
  <si>
    <t xml:space="preserve">Idem, sur-livraison saine. Aligner objectif PRD à 12 mois (rythme remplacement annuel CR2032 cohérent avec maintenance MDPH).</t>
  </si>
  <si>
    <t xml:space="preserve">PRD : 'PCB sur mesure' bracelet — hardware : 'XIAO + boîtier 3D'</t>
  </si>
  <si>
    <t xml:space="preserve">Divergence : le PRD parle de PCB custom, le hardware-exploration converge sur module XIAO + composants discrets. Un module pré-fait n'est PAS un PCB custom — c'est plus rapide et plus robuste (CE module). Mettre à jour le PRD pour refléter 'module XIAO nRF52840 + carte porteuse simple' au lieu de 'PCB sur mesure'. Gain de 3-6 mois sur la roadmap.</t>
  </si>
  <si>
    <t xml:space="preserve">Mise à jour PRD</t>
  </si>
  <si>
    <t xml:space="preserve">Checklist de vérifications avant clic 'Acheter'</t>
  </si>
  <si>
    <t xml:space="preserve">Cocher la case OK une fois la vérif faite sur la fiche produit AliExpress.</t>
  </si>
  <si>
    <t xml:space="preserve">Catégorie</t>
  </si>
  <si>
    <t xml:space="preserve">Point à vérifier</t>
  </si>
  <si>
    <t xml:space="preserve">OK ?</t>
  </si>
  <si>
    <t xml:space="preserve">XIAO nRF52840</t>
  </si>
  <si>
    <t xml:space="preserve">Version 'XIAO nRF52840' SANS le suffixe 'Sense' (pas d'IMU/micro/flash QSPI)</t>
  </si>
  <si>
    <t xml:space="preserve">☐</t>
  </si>
  <si>
    <t xml:space="preserve">Vendeur 'Seeed Studio Official Store' OU note vendeur ≥98% sur produit identique</t>
  </si>
  <si>
    <t xml:space="preserve">Vérifier mention 'CE / FCC / TELEC' sur la fiche (ou demander DoC au vendeur)</t>
  </si>
  <si>
    <t xml:space="preserve">Bien la version 'Plus 2' (pas 'Plus' v1) — écran 1.14" et batterie 200mAh</t>
  </si>
  <si>
    <t xml:space="preserve">Compatibilité explicite M5StickC Plus / Plus 2 (pas Atom)</t>
  </si>
  <si>
    <t xml:space="preserve">iTag CC2541</t>
  </si>
  <si>
    <t xml:space="preserve">Mention 'CC2541' explicite OU au minimum 'TI chip' dans la description</t>
  </si>
  <si>
    <t xml:space="preserve">1 LOT UNIQUE (20 unités même couleur même vendeur) pour réduire variance chipset</t>
  </si>
  <si>
    <t xml:space="preserve">Photos visibles d'un PCB ouvert si possible — chercher sérigraphie 'CC2541'</t>
  </si>
  <si>
    <t xml:space="preserve">LiPo 200mAh</t>
  </si>
  <si>
    <t xml:space="preserve">Connecteur JST PH 1.25mm (PAS 2.0mm) — natif XIAO. Vérifier sur photo.</t>
  </si>
  <si>
    <t xml:space="preserve">Capacité réelle ≥180mAh (les vendeurs mentent souvent — privilégier vendeur top rated)</t>
  </si>
  <si>
    <t xml:space="preserve">Avec circuit de protection intégré (overcharge / overdischarge)</t>
  </si>
  <si>
    <t xml:space="preserve">Buzzer piézo Ø9mm</t>
  </si>
  <si>
    <t xml:space="preserve">Mention 'PASSIVE' explicite (pas 'active' ni 'self-drive')</t>
  </si>
  <si>
    <t xml:space="preserve">SPL ≥80 dB à 10cm si indiqué — préférer datasheet jointe</t>
  </si>
  <si>
    <t xml:space="preserve">Buzzer piézo Ø14mm</t>
  </si>
  <si>
    <t xml:space="preserve">Mention 'PASSIVE'. Tension 3-5V</t>
  </si>
  <si>
    <t xml:space="preserve">Vibreur disque</t>
  </si>
  <si>
    <t xml:space="preserve">Diamètre 10mm, hauteur ≤3mm, 3V, fils déjà soudés idéalement</t>
  </si>
  <si>
    <t xml:space="preserve">CR2032</t>
  </si>
  <si>
    <t xml:space="preserve">Marque connue (Panasonic / Sony / Maxell / Energizer). Pas Generic / OEM.</t>
  </si>
  <si>
    <t xml:space="preserve">Date de péremption visible et &gt; 5 ans à compter de la livraison</t>
  </si>
  <si>
    <t xml:space="preserve">Support CR2032 SMD</t>
  </si>
  <si>
    <t xml:space="preserve">Version 'horizontal SMD' (à plat) si boîtier balise plat</t>
  </si>
  <si>
    <t xml:space="preserve">Barrettes 'quick release' (changement facile)</t>
  </si>
  <si>
    <t xml:space="preserve">Cargo / livraison</t>
  </si>
  <si>
    <t xml:space="preserve">Choisir 'AliExpress Standard Shipping' avec tracking — délai 15-25j EU</t>
  </si>
  <si>
    <t xml:space="preserve">Vérifier disponibilité stock pays Europe (entrepôt FR/PL/CZ → 5-7j)</t>
  </si>
  <si>
    <t xml:space="preserve">Paiement</t>
  </si>
  <si>
    <t xml:space="preserve">Privilégier paiement carte (protection acheteur) vs PayPal direct</t>
  </si>
  <si>
    <t xml:space="preserve">Global</t>
  </si>
  <si>
    <t xml:space="preserve">Capturer screenshot de la commande pour archive (référence dossier CIR/CII si pertinent)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</si>
</sst>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C6EFCE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liexpress.com/wholesale?SearchText=M5StickC+Plus+2" TargetMode="External"/><Relationship Id="rId2" Type="http://schemas.openxmlformats.org/officeDocument/2006/relationships/hyperlink" Target="https://www.aliexpress.com/wholesale?SearchText=M5Stack+Vibrator+Hat" TargetMode="External"/><Relationship Id="rId3" Type="http://schemas.openxmlformats.org/officeDocument/2006/relationships/hyperlink" Target="https://www.aliexpress.com/wholesale?SearchText=iTag+CC2541+anti+lost+tracker" TargetMode="External"/><Relationship Id="rId4" Type="http://schemas.openxmlformats.org/officeDocument/2006/relationships/hyperlink" Target="https://www.aliexpress.com/wholesale?SearchText=Seeed+XIAO+nRF52840" TargetMode="External"/><Relationship Id="rId5" Type="http://schemas.openxmlformats.org/officeDocument/2006/relationships/hyperlink" Target="https://www.aliexpress.com/wholesale?SearchText=coin+vibration+motor+10mm+3V" TargetMode="External"/><Relationship Id="rId6" Type="http://schemas.openxmlformats.org/officeDocument/2006/relationships/hyperlink" Target="https://www.aliexpress.com/wholesale?SearchText=passive+piezo+buzzer+9mm+3V" TargetMode="External"/><Relationship Id="rId7" Type="http://schemas.openxmlformats.org/officeDocument/2006/relationships/hyperlink" Target="https://www.aliexpress.com/wholesale?SearchText=passive+piezo+buzzer+14mm+transducer" TargetMode="External"/><Relationship Id="rId8" Type="http://schemas.openxmlformats.org/officeDocument/2006/relationships/hyperlink" Target="https://www.aliexpress.com/wholesale?SearchText=tactile+push+button+4mm+SMD+pack" TargetMode="External"/><Relationship Id="rId9" Type="http://schemas.openxmlformats.org/officeDocument/2006/relationships/hyperlink" Target="https://www.aliexpress.com/wholesale?SearchText=2N2222+transistor+TO-92+100pcs" TargetMode="External"/><Relationship Id="rId10" Type="http://schemas.openxmlformats.org/officeDocument/2006/relationships/hyperlink" Target="https://www.aliexpress.com/wholesale?SearchText=10k+resistor+1%2F4w+100pcs+pack" TargetMode="External"/><Relationship Id="rId11" Type="http://schemas.openxmlformats.org/officeDocument/2006/relationships/hyperlink" Target="https://www.aliexpress.com/wholesale?SearchText=1k+resistor+1%2F4w+100pcs+pack" TargetMode="External"/><Relationship Id="rId12" Type="http://schemas.openxmlformats.org/officeDocument/2006/relationships/hyperlink" Target="https://www.aliexpress.com/wholesale?SearchText=lipo+200mAh+402030+JST+1.25mm" TargetMode="External"/><Relationship Id="rId13" Type="http://schemas.openxmlformats.org/officeDocument/2006/relationships/hyperlink" Target="https://www.aliexpress.com/wholesale?SearchText=lipo+500mAh+503035+JST+1.25mm" TargetMode="External"/><Relationship Id="rId14" Type="http://schemas.openxmlformats.org/officeDocument/2006/relationships/hyperlink" Target="https://www.aliexpress.com/wholesale?SearchText=CR2032+lithium+battery+10pcs" TargetMode="External"/><Relationship Id="rId15" Type="http://schemas.openxmlformats.org/officeDocument/2006/relationships/hyperlink" Target="https://www.aliexpress.com/wholesale?SearchText=CR2032+holder+smd" TargetMode="External"/><Relationship Id="rId16" Type="http://schemas.openxmlformats.org/officeDocument/2006/relationships/hyperlink" Target="https://www.aliexpress.com/wholesale?SearchText=100uF+10V+tantalum+capacitor" TargetMode="External"/><Relationship Id="rId17" Type="http://schemas.openxmlformats.org/officeDocument/2006/relationships/hyperlink" Target="https://www.aliexpress.com/wholesale?SearchText=silicone+watch+strap+20mm" TargetMode="External"/><Relationship Id="rId18" Type="http://schemas.openxmlformats.org/officeDocument/2006/relationships/hyperlink" Target="https://www.aliexpress.com/wholesale?SearchText=silicone+wire+30AWG+kit+colors" TargetMode="External"/><Relationship Id="rId19" Type="http://schemas.openxmlformats.org/officeDocument/2006/relationships/hyperlink" Target="https://www.aliexpress.com/wholesale?SearchText=JST+1.25mm+2+pin+connector+cable+10cm" TargetMode="External"/><Relationship Id="rId20" Type="http://schemas.openxmlformats.org/officeDocument/2006/relationships/hyperlink" Target="https://www.aliexpress.com/wholesale?SearchText=perfboard+3x7cm+prototype+5pcs" TargetMode="External"/><Relationship Id="rId21" Type="http://schemas.openxmlformats.org/officeDocument/2006/relationships/hyperlink" Target="https://www.aliexpress.com/wholesale?SearchText=small+plastic+enclosure+30x40m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7"/>
    <col collapsed="false" customWidth="true" hidden="false" outlineLevel="0" max="6" min="5" style="1" width="13"/>
    <col collapsed="false" customWidth="true" hidden="false" outlineLevel="0" max="7" min="7" style="1" width="36"/>
    <col collapsed="false" customWidth="true" hidden="false" outlineLevel="0" max="8" min="8" style="1" width="13"/>
    <col collapsed="false" customWidth="true" hidden="false" outlineLevel="0" max="9" min="9" style="1" width="6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1.75" hidden="false" customHeight="true" outlineLevel="0" collapsed="false">
      <c r="A5" s="5" t="s">
        <v>11</v>
      </c>
      <c r="B5" s="5"/>
      <c r="C5" s="5"/>
      <c r="D5" s="5"/>
      <c r="E5" s="5"/>
      <c r="F5" s="5"/>
      <c r="G5" s="5"/>
      <c r="H5" s="5"/>
      <c r="I5" s="5"/>
    </row>
    <row r="6" customFormat="false" ht="23.25" hidden="false" customHeight="true" outlineLevel="0" collapsed="false">
      <c r="A6" s="6"/>
      <c r="B6" s="6" t="s">
        <v>12</v>
      </c>
      <c r="C6" s="6" t="s">
        <v>13</v>
      </c>
      <c r="D6" s="7" t="n">
        <v>1</v>
      </c>
      <c r="E6" s="8" t="n">
        <v>18</v>
      </c>
      <c r="F6" s="8" t="n">
        <f aca="false">D6*E6</f>
        <v>18</v>
      </c>
      <c r="G6" s="9" t="s">
        <v>14</v>
      </c>
      <c r="H6" s="10" t="s">
        <v>15</v>
      </c>
      <c r="I6" s="6" t="s">
        <v>16</v>
      </c>
    </row>
    <row r="7" customFormat="false" ht="23.25" hidden="false" customHeight="true" outlineLevel="0" collapsed="false">
      <c r="A7" s="6"/>
      <c r="B7" s="6" t="s">
        <v>17</v>
      </c>
      <c r="C7" s="6" t="s">
        <v>18</v>
      </c>
      <c r="D7" s="7" t="n">
        <v>1</v>
      </c>
      <c r="E7" s="8" t="n">
        <v>4</v>
      </c>
      <c r="F7" s="8" t="n">
        <f aca="false">D7*E7</f>
        <v>4</v>
      </c>
      <c r="G7" s="9" t="s">
        <v>19</v>
      </c>
      <c r="H7" s="10" t="s">
        <v>15</v>
      </c>
      <c r="I7" s="6" t="s">
        <v>20</v>
      </c>
    </row>
    <row r="8" customFormat="false" ht="34.5" hidden="false" customHeight="true" outlineLevel="0" collapsed="false">
      <c r="A8" s="6"/>
      <c r="B8" s="6" t="s">
        <v>21</v>
      </c>
      <c r="C8" s="6" t="s">
        <v>22</v>
      </c>
      <c r="D8" s="7" t="n">
        <v>20</v>
      </c>
      <c r="E8" s="8" t="n">
        <v>2.5</v>
      </c>
      <c r="F8" s="8" t="n">
        <f aca="false">D8*E8</f>
        <v>50</v>
      </c>
      <c r="G8" s="9" t="s">
        <v>23</v>
      </c>
      <c r="H8" s="10" t="s">
        <v>15</v>
      </c>
      <c r="I8" s="6" t="s">
        <v>24</v>
      </c>
    </row>
    <row r="9" customFormat="false" ht="15" hidden="false" customHeight="true" outlineLevel="0" collapsed="false">
      <c r="E9" s="11" t="s">
        <v>25</v>
      </c>
      <c r="F9" s="12" t="n">
        <f aca="false">SUM(F6:F8)</f>
        <v>72</v>
      </c>
    </row>
    <row r="10" customFormat="false" ht="21.75" hidden="false" customHeight="true" outlineLevel="0" collapsed="false">
      <c r="A10" s="5" t="s">
        <v>26</v>
      </c>
      <c r="B10" s="5"/>
      <c r="C10" s="5"/>
      <c r="D10" s="5"/>
      <c r="E10" s="5"/>
      <c r="F10" s="5"/>
      <c r="G10" s="5"/>
      <c r="H10" s="5"/>
      <c r="I10" s="5"/>
    </row>
    <row r="11" customFormat="false" ht="34.5" hidden="false" customHeight="true" outlineLevel="0" collapsed="false">
      <c r="A11" s="6"/>
      <c r="B11" s="6" t="s">
        <v>27</v>
      </c>
      <c r="C11" s="6" t="s">
        <v>28</v>
      </c>
      <c r="D11" s="7" t="n">
        <v>6</v>
      </c>
      <c r="E11" s="8" t="n">
        <v>7.5</v>
      </c>
      <c r="F11" s="8" t="n">
        <f aca="false">D11*E11</f>
        <v>45</v>
      </c>
      <c r="G11" s="9" t="s">
        <v>29</v>
      </c>
      <c r="H11" s="10" t="s">
        <v>15</v>
      </c>
      <c r="I11" s="6" t="s">
        <v>30</v>
      </c>
    </row>
    <row r="12" customFormat="false" ht="23.25" hidden="false" customHeight="true" outlineLevel="0" collapsed="false">
      <c r="A12" s="6"/>
      <c r="B12" s="6" t="s">
        <v>31</v>
      </c>
      <c r="C12" s="6" t="s">
        <v>32</v>
      </c>
      <c r="D12" s="7" t="n">
        <v>5</v>
      </c>
      <c r="E12" s="8" t="n">
        <v>0.4</v>
      </c>
      <c r="F12" s="8" t="n">
        <f aca="false">D12*E12</f>
        <v>2</v>
      </c>
      <c r="G12" s="9" t="s">
        <v>33</v>
      </c>
      <c r="H12" s="10" t="s">
        <v>15</v>
      </c>
      <c r="I12" s="6" t="s">
        <v>34</v>
      </c>
    </row>
    <row r="13" customFormat="false" ht="23.25" hidden="false" customHeight="true" outlineLevel="0" collapsed="false">
      <c r="A13" s="6"/>
      <c r="B13" s="6" t="s">
        <v>35</v>
      </c>
      <c r="C13" s="6" t="s">
        <v>36</v>
      </c>
      <c r="D13" s="7" t="n">
        <v>10</v>
      </c>
      <c r="E13" s="8" t="n">
        <v>0.2</v>
      </c>
      <c r="F13" s="8" t="n">
        <f aca="false">D13*E13</f>
        <v>2</v>
      </c>
      <c r="G13" s="9" t="s">
        <v>37</v>
      </c>
      <c r="H13" s="10" t="s">
        <v>15</v>
      </c>
      <c r="I13" s="6" t="s">
        <v>38</v>
      </c>
    </row>
    <row r="14" customFormat="false" ht="23.25" hidden="false" customHeight="true" outlineLevel="0" collapsed="false">
      <c r="A14" s="6"/>
      <c r="B14" s="6" t="s">
        <v>39</v>
      </c>
      <c r="C14" s="6" t="s">
        <v>40</v>
      </c>
      <c r="D14" s="7" t="n">
        <v>5</v>
      </c>
      <c r="E14" s="8" t="n">
        <v>0.5</v>
      </c>
      <c r="F14" s="8" t="n">
        <f aca="false">D14*E14</f>
        <v>2.5</v>
      </c>
      <c r="G14" s="9" t="s">
        <v>41</v>
      </c>
      <c r="H14" s="10" t="s">
        <v>42</v>
      </c>
      <c r="I14" s="6" t="s">
        <v>43</v>
      </c>
    </row>
    <row r="15" customFormat="false" ht="23.25" hidden="false" customHeight="true" outlineLevel="0" collapsed="false">
      <c r="A15" s="6"/>
      <c r="B15" s="6" t="s">
        <v>44</v>
      </c>
      <c r="C15" s="6" t="s">
        <v>45</v>
      </c>
      <c r="D15" s="7" t="n">
        <v>1</v>
      </c>
      <c r="E15" s="8" t="n">
        <v>1</v>
      </c>
      <c r="F15" s="8" t="n">
        <f aca="false">D15*E15</f>
        <v>1</v>
      </c>
      <c r="G15" s="9" t="s">
        <v>46</v>
      </c>
      <c r="H15" s="10" t="s">
        <v>15</v>
      </c>
      <c r="I15" s="6" t="s">
        <v>47</v>
      </c>
    </row>
    <row r="16" customFormat="false" ht="15" hidden="false" customHeight="true" outlineLevel="0" collapsed="false">
      <c r="A16" s="6"/>
      <c r="B16" s="6" t="s">
        <v>48</v>
      </c>
      <c r="C16" s="6" t="s">
        <v>49</v>
      </c>
      <c r="D16" s="7" t="n">
        <v>1</v>
      </c>
      <c r="E16" s="8" t="n">
        <v>1.5</v>
      </c>
      <c r="F16" s="8" t="n">
        <f aca="false">D16*E16</f>
        <v>1.5</v>
      </c>
      <c r="G16" s="9" t="s">
        <v>50</v>
      </c>
      <c r="H16" s="10" t="s">
        <v>15</v>
      </c>
      <c r="I16" s="6" t="s">
        <v>51</v>
      </c>
    </row>
    <row r="17" customFormat="false" ht="15" hidden="false" customHeight="true" outlineLevel="0" collapsed="false">
      <c r="A17" s="6"/>
      <c r="B17" s="6" t="s">
        <v>52</v>
      </c>
      <c r="C17" s="6" t="s">
        <v>53</v>
      </c>
      <c r="D17" s="7" t="n">
        <v>1</v>
      </c>
      <c r="E17" s="8" t="n">
        <v>1</v>
      </c>
      <c r="F17" s="8" t="n">
        <f aca="false">D17*E17</f>
        <v>1</v>
      </c>
      <c r="G17" s="9" t="s">
        <v>54</v>
      </c>
      <c r="H17" s="10" t="s">
        <v>15</v>
      </c>
      <c r="I17" s="6" t="s">
        <v>55</v>
      </c>
    </row>
    <row r="18" customFormat="false" ht="23.25" hidden="false" customHeight="true" outlineLevel="0" collapsed="false">
      <c r="A18" s="6"/>
      <c r="B18" s="6" t="s">
        <v>56</v>
      </c>
      <c r="C18" s="6" t="s">
        <v>57</v>
      </c>
      <c r="D18" s="7" t="n">
        <v>1</v>
      </c>
      <c r="E18" s="8" t="n">
        <v>1</v>
      </c>
      <c r="F18" s="8" t="n">
        <f aca="false">D18*E18</f>
        <v>1</v>
      </c>
      <c r="G18" s="9" t="s">
        <v>58</v>
      </c>
      <c r="H18" s="10" t="s">
        <v>15</v>
      </c>
      <c r="I18" s="6" t="s">
        <v>59</v>
      </c>
    </row>
    <row r="19" customFormat="false" ht="23.25" hidden="false" customHeight="true" outlineLevel="0" collapsed="false">
      <c r="A19" s="6"/>
      <c r="B19" s="6" t="s">
        <v>60</v>
      </c>
      <c r="C19" s="6" t="s">
        <v>61</v>
      </c>
      <c r="D19" s="7" t="n">
        <v>5</v>
      </c>
      <c r="E19" s="8" t="n">
        <v>3.5</v>
      </c>
      <c r="F19" s="8" t="n">
        <f aca="false">D19*E19</f>
        <v>17.5</v>
      </c>
      <c r="G19" s="9" t="s">
        <v>62</v>
      </c>
      <c r="H19" s="10" t="s">
        <v>15</v>
      </c>
      <c r="I19" s="6" t="s">
        <v>63</v>
      </c>
    </row>
    <row r="20" customFormat="false" ht="23.25" hidden="false" customHeight="true" outlineLevel="0" collapsed="false">
      <c r="A20" s="13"/>
      <c r="B20" s="13" t="s">
        <v>64</v>
      </c>
      <c r="C20" s="13" t="s">
        <v>65</v>
      </c>
      <c r="D20" s="14" t="n">
        <v>1</v>
      </c>
      <c r="E20" s="15" t="n">
        <v>5</v>
      </c>
      <c r="F20" s="15" t="n">
        <f aca="false">D20*E20</f>
        <v>5</v>
      </c>
      <c r="G20" s="16" t="s">
        <v>66</v>
      </c>
      <c r="H20" s="17" t="s">
        <v>67</v>
      </c>
      <c r="I20" s="13" t="s">
        <v>68</v>
      </c>
    </row>
    <row r="21" customFormat="false" ht="23.25" hidden="false" customHeight="true" outlineLevel="0" collapsed="false">
      <c r="A21" s="13"/>
      <c r="B21" s="13" t="s">
        <v>69</v>
      </c>
      <c r="C21" s="13" t="s">
        <v>70</v>
      </c>
      <c r="D21" s="14" t="n">
        <v>1</v>
      </c>
      <c r="E21" s="15" t="n">
        <v>3</v>
      </c>
      <c r="F21" s="15" t="n">
        <f aca="false">D21*E21</f>
        <v>3</v>
      </c>
      <c r="G21" s="16" t="s">
        <v>71</v>
      </c>
      <c r="H21" s="17" t="s">
        <v>67</v>
      </c>
      <c r="I21" s="13" t="s">
        <v>72</v>
      </c>
    </row>
    <row r="22" customFormat="false" ht="15" hidden="false" customHeight="true" outlineLevel="0" collapsed="false">
      <c r="A22" s="13"/>
      <c r="B22" s="13" t="s">
        <v>73</v>
      </c>
      <c r="C22" s="13" t="s">
        <v>74</v>
      </c>
      <c r="D22" s="14" t="n">
        <v>1</v>
      </c>
      <c r="E22" s="15" t="n">
        <v>2</v>
      </c>
      <c r="F22" s="15" t="n">
        <f aca="false">D22*E22</f>
        <v>2</v>
      </c>
      <c r="G22" s="16" t="s">
        <v>75</v>
      </c>
      <c r="H22" s="17" t="s">
        <v>67</v>
      </c>
      <c r="I22" s="13" t="s">
        <v>76</v>
      </c>
    </row>
    <row r="23" customFormat="false" ht="23.25" hidden="false" customHeight="true" outlineLevel="0" collapsed="false">
      <c r="A23" s="13"/>
      <c r="B23" s="13" t="s">
        <v>77</v>
      </c>
      <c r="C23" s="13" t="s">
        <v>78</v>
      </c>
      <c r="D23" s="14" t="n">
        <v>5</v>
      </c>
      <c r="E23" s="15" t="n">
        <v>0.4</v>
      </c>
      <c r="F23" s="15" t="n">
        <f aca="false">D23*E23</f>
        <v>2</v>
      </c>
      <c r="G23" s="16" t="s">
        <v>79</v>
      </c>
      <c r="H23" s="17" t="s">
        <v>67</v>
      </c>
      <c r="I23" s="13" t="s">
        <v>80</v>
      </c>
    </row>
    <row r="24" customFormat="false" ht="23.25" hidden="false" customHeight="true" outlineLevel="0" collapsed="false">
      <c r="A24" s="6"/>
      <c r="B24" s="6" t="s">
        <v>81</v>
      </c>
      <c r="C24" s="6" t="s">
        <v>82</v>
      </c>
      <c r="D24" s="7" t="n">
        <v>2</v>
      </c>
      <c r="E24" s="8" t="n">
        <v>1.5</v>
      </c>
      <c r="F24" s="8" t="n">
        <f aca="false">D24*E24</f>
        <v>3</v>
      </c>
      <c r="G24" s="9" t="s">
        <v>83</v>
      </c>
      <c r="H24" s="10" t="s">
        <v>15</v>
      </c>
      <c r="I24" s="6" t="s">
        <v>84</v>
      </c>
    </row>
    <row r="25" customFormat="false" ht="34.5" hidden="false" customHeight="true" outlineLevel="0" collapsed="false">
      <c r="A25" s="6"/>
      <c r="B25" s="6" t="s">
        <v>85</v>
      </c>
      <c r="C25" s="6" t="s">
        <v>86</v>
      </c>
      <c r="D25" s="7" t="n">
        <v>1</v>
      </c>
      <c r="E25" s="8" t="n">
        <v>5</v>
      </c>
      <c r="F25" s="8" t="n">
        <f aca="false">D25*E25</f>
        <v>5</v>
      </c>
      <c r="G25" s="9" t="s">
        <v>87</v>
      </c>
      <c r="H25" s="10" t="s">
        <v>15</v>
      </c>
      <c r="I25" s="6" t="s">
        <v>88</v>
      </c>
    </row>
    <row r="26" customFormat="false" ht="23.25" hidden="false" customHeight="true" outlineLevel="0" collapsed="false">
      <c r="A26" s="6"/>
      <c r="B26" s="6" t="s">
        <v>89</v>
      </c>
      <c r="C26" s="6" t="s">
        <v>90</v>
      </c>
      <c r="D26" s="7" t="n">
        <v>1</v>
      </c>
      <c r="E26" s="8" t="n">
        <v>3</v>
      </c>
      <c r="F26" s="8" t="n">
        <f aca="false">D26*E26</f>
        <v>3</v>
      </c>
      <c r="G26" s="9" t="s">
        <v>91</v>
      </c>
      <c r="H26" s="10" t="s">
        <v>42</v>
      </c>
      <c r="I26" s="6" t="s">
        <v>92</v>
      </c>
    </row>
    <row r="27" customFormat="false" ht="15" hidden="false" customHeight="true" outlineLevel="0" collapsed="false">
      <c r="A27" s="6"/>
      <c r="B27" s="6" t="s">
        <v>93</v>
      </c>
      <c r="C27" s="6" t="s">
        <v>94</v>
      </c>
      <c r="D27" s="7" t="n">
        <v>1</v>
      </c>
      <c r="E27" s="8" t="n">
        <v>3</v>
      </c>
      <c r="F27" s="8" t="n">
        <f aca="false">D27*E27</f>
        <v>3</v>
      </c>
      <c r="G27" s="9" t="s">
        <v>95</v>
      </c>
      <c r="H27" s="10" t="s">
        <v>42</v>
      </c>
      <c r="I27" s="6" t="s">
        <v>96</v>
      </c>
    </row>
    <row r="28" customFormat="false" ht="23.25" hidden="false" customHeight="true" outlineLevel="0" collapsed="false">
      <c r="A28" s="13"/>
      <c r="B28" s="13" t="s">
        <v>97</v>
      </c>
      <c r="C28" s="13" t="s">
        <v>98</v>
      </c>
      <c r="D28" s="14" t="n">
        <v>1</v>
      </c>
      <c r="E28" s="15" t="n">
        <v>5</v>
      </c>
      <c r="F28" s="15" t="n">
        <f aca="false">D28*E28</f>
        <v>5</v>
      </c>
      <c r="G28" s="16" t="s">
        <v>99</v>
      </c>
      <c r="H28" s="17" t="s">
        <v>67</v>
      </c>
      <c r="I28" s="13" t="s">
        <v>100</v>
      </c>
    </row>
    <row r="29" customFormat="false" ht="15" hidden="false" customHeight="true" outlineLevel="0" collapsed="false">
      <c r="E29" s="11" t="s">
        <v>101</v>
      </c>
      <c r="F29" s="12" t="n">
        <f aca="false">SUM(F11:F28)</f>
        <v>104.5</v>
      </c>
    </row>
    <row r="31" customFormat="false" ht="21.75" hidden="false" customHeight="true" outlineLevel="0" collapsed="false">
      <c r="B31" s="18" t="s">
        <v>102</v>
      </c>
      <c r="C31" s="18"/>
      <c r="D31" s="18"/>
      <c r="E31" s="18"/>
      <c r="F31" s="19" t="n">
        <f aca="false">F9+F29</f>
        <v>176.5</v>
      </c>
    </row>
    <row r="33" customFormat="false" ht="15" hidden="false" customHeight="true" outlineLevel="0" collapsed="false">
      <c r="B33" s="20" t="s">
        <v>103</v>
      </c>
      <c r="C33" s="20"/>
      <c r="D33" s="20"/>
      <c r="E33" s="20"/>
      <c r="F33" s="20"/>
    </row>
    <row r="34" customFormat="false" ht="15" hidden="false" customHeight="true" outlineLevel="0" collapsed="false">
      <c r="B34" s="21" t="s">
        <v>104</v>
      </c>
      <c r="F34" s="22" t="n">
        <f aca="false">SUMIF(H5:H30,"Essentiel",F5:F30)</f>
        <v>151</v>
      </c>
    </row>
    <row r="35" customFormat="false" ht="15" hidden="false" customHeight="true" outlineLevel="0" collapsed="false">
      <c r="B35" s="21" t="s">
        <v>105</v>
      </c>
      <c r="F35" s="22" t="n">
        <f aca="false">SUMIF(H5:H30,"Recommandé",F5:F30)</f>
        <v>8.5</v>
      </c>
    </row>
    <row r="36" customFormat="false" ht="15" hidden="false" customHeight="true" outlineLevel="0" collapsed="false">
      <c r="B36" s="21" t="s">
        <v>106</v>
      </c>
      <c r="F36" s="22" t="n">
        <f aca="false">SUMIF(H5:H30,"Optionnel",F5:F30)</f>
        <v>17</v>
      </c>
    </row>
  </sheetData>
  <mergeCells count="6">
    <mergeCell ref="A1:I1"/>
    <mergeCell ref="A2:I2"/>
    <mergeCell ref="A5:I5"/>
    <mergeCell ref="A10:I10"/>
    <mergeCell ref="B31:E31"/>
    <mergeCell ref="B33:F33"/>
  </mergeCells>
  <hyperlinks>
    <hyperlink ref="G6" r:id="rId1" display="Rechercher : M5StickC Plus 2"/>
    <hyperlink ref="G7" r:id="rId2" display="Rechercher : M5Stack Vibrator Hat"/>
    <hyperlink ref="G8" r:id="rId3" display="Rechercher : iTag CC2541 anti lost tracker"/>
    <hyperlink ref="G11" r:id="rId4" display="Rechercher : Seeed XIAO nRF52840"/>
    <hyperlink ref="G12" r:id="rId5" display="Rechercher : coin vibration motor 10mm 3V"/>
    <hyperlink ref="G13" r:id="rId6" display="Rechercher : passive piezo buzzer 9mm 3V"/>
    <hyperlink ref="G14" r:id="rId7" display="Rechercher : passive piezo buzzer 14mm transducer"/>
    <hyperlink ref="G15" r:id="rId8" display="Rechercher : tactile push button 4mm SMD pack"/>
    <hyperlink ref="G16" r:id="rId9" display="Rechercher : 2N2222 transistor TO-92 100pcs"/>
    <hyperlink ref="G17" r:id="rId10" display="Rechercher : 10k resistor 1/4w 100pcs pack"/>
    <hyperlink ref="G18" r:id="rId11" display="Rechercher : 1k resistor 1/4w 100pcs pack"/>
    <hyperlink ref="G19" r:id="rId12" display="Rechercher : lipo 200mAh 402030 JST 1.25mm"/>
    <hyperlink ref="G20" r:id="rId13" display="Rechercher : lipo 500mAh 503035 JST 1.25mm"/>
    <hyperlink ref="G21" r:id="rId14" display="Rechercher : CR2032 lithium battery 10pcs"/>
    <hyperlink ref="G22" r:id="rId15" display="Rechercher : CR2032 holder smd"/>
    <hyperlink ref="G23" r:id="rId16" display="Rechercher : 100uF 10V tantalum capacitor"/>
    <hyperlink ref="G24" r:id="rId17" display="Rechercher : silicone watch strap 20mm"/>
    <hyperlink ref="G25" r:id="rId18" display="Rechercher : silicone wire 30AWG kit colors"/>
    <hyperlink ref="G26" r:id="rId19" display="Rechercher : JST 1.25mm 2 pin connector cable 10cm"/>
    <hyperlink ref="G27" r:id="rId20" display="Rechercher : perfboard 3x7cm prototype 5pcs"/>
    <hyperlink ref="G28" r:id="rId21" display="Rechercher : small plastic enclosure 30x40m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0"/>
    <col collapsed="false" customWidth="true" hidden="false" outlineLevel="0" max="3" min="3" style="1" width="18"/>
  </cols>
  <sheetData>
    <row r="1" customFormat="false" ht="27.75" hidden="false" customHeight="true" outlineLevel="0" collapsed="false">
      <c r="A1" s="2" t="s">
        <v>107</v>
      </c>
      <c r="B1" s="2"/>
      <c r="C1" s="2"/>
    </row>
    <row r="2" customFormat="false" ht="15" hidden="false" customHeight="true" outlineLevel="0" collapsed="false">
      <c r="A2" s="3" t="s">
        <v>108</v>
      </c>
      <c r="B2" s="3"/>
      <c r="C2" s="3"/>
    </row>
    <row r="4" customFormat="false" ht="21.75" hidden="false" customHeight="true" outlineLevel="0" collapsed="false">
      <c r="A4" s="23" t="s">
        <v>109</v>
      </c>
      <c r="B4" s="23"/>
      <c r="C4" s="23"/>
    </row>
    <row r="5" customFormat="false" ht="15" hidden="false" customHeight="true" outlineLevel="0" collapsed="false">
      <c r="A5" s="24" t="s">
        <v>110</v>
      </c>
      <c r="B5" s="24" t="s">
        <v>111</v>
      </c>
      <c r="C5" s="24" t="s">
        <v>112</v>
      </c>
    </row>
    <row r="6" customFormat="false" ht="34.5" hidden="false" customHeight="true" outlineLevel="0" collapsed="false">
      <c r="A6" s="25" t="s">
        <v>113</v>
      </c>
      <c r="B6" s="6" t="s">
        <v>114</v>
      </c>
      <c r="C6" s="6" t="s">
        <v>115</v>
      </c>
    </row>
    <row r="7" customFormat="false" ht="23.25" hidden="false" customHeight="true" outlineLevel="0" collapsed="false">
      <c r="A7" s="25" t="s">
        <v>116</v>
      </c>
      <c r="B7" s="6" t="s">
        <v>117</v>
      </c>
      <c r="C7" s="6" t="s">
        <v>115</v>
      </c>
    </row>
    <row r="8" customFormat="false" ht="23.25" hidden="false" customHeight="true" outlineLevel="0" collapsed="false">
      <c r="A8" s="25" t="s">
        <v>118</v>
      </c>
      <c r="B8" s="6" t="s">
        <v>119</v>
      </c>
      <c r="C8" s="6" t="s">
        <v>115</v>
      </c>
    </row>
    <row r="9" customFormat="false" ht="23.25" hidden="false" customHeight="true" outlineLevel="0" collapsed="false">
      <c r="A9" s="25" t="s">
        <v>120</v>
      </c>
      <c r="B9" s="6" t="s">
        <v>121</v>
      </c>
      <c r="C9" s="6" t="s">
        <v>115</v>
      </c>
    </row>
    <row r="11" customFormat="false" ht="21.75" hidden="false" customHeight="true" outlineLevel="0" collapsed="false">
      <c r="A11" s="23" t="s">
        <v>122</v>
      </c>
      <c r="B11" s="23"/>
      <c r="C11" s="23"/>
    </row>
    <row r="12" customFormat="false" ht="15" hidden="false" customHeight="true" outlineLevel="0" collapsed="false">
      <c r="A12" s="24" t="s">
        <v>110</v>
      </c>
      <c r="B12" s="24" t="s">
        <v>111</v>
      </c>
      <c r="C12" s="24" t="s">
        <v>112</v>
      </c>
    </row>
    <row r="13" customFormat="false" ht="45.75" hidden="false" customHeight="true" outlineLevel="0" collapsed="false">
      <c r="A13" s="25" t="s">
        <v>123</v>
      </c>
      <c r="B13" s="6" t="s">
        <v>124</v>
      </c>
      <c r="C13" s="6" t="s">
        <v>125</v>
      </c>
    </row>
    <row r="14" customFormat="false" ht="34.5" hidden="false" customHeight="true" outlineLevel="0" collapsed="false">
      <c r="A14" s="25" t="s">
        <v>126</v>
      </c>
      <c r="B14" s="6" t="s">
        <v>127</v>
      </c>
      <c r="C14" s="6" t="s">
        <v>125</v>
      </c>
    </row>
    <row r="15" customFormat="false" ht="34.5" hidden="false" customHeight="true" outlineLevel="0" collapsed="false">
      <c r="A15" s="25" t="s">
        <v>128</v>
      </c>
      <c r="B15" s="6" t="s">
        <v>129</v>
      </c>
      <c r="C15" s="6" t="s">
        <v>125</v>
      </c>
    </row>
    <row r="16" customFormat="false" ht="34.5" hidden="false" customHeight="true" outlineLevel="0" collapsed="false">
      <c r="A16" s="25" t="s">
        <v>130</v>
      </c>
      <c r="B16" s="6" t="s">
        <v>131</v>
      </c>
      <c r="C16" s="6" t="s">
        <v>132</v>
      </c>
    </row>
    <row r="17" customFormat="false" ht="34.5" hidden="false" customHeight="true" outlineLevel="0" collapsed="false">
      <c r="A17" s="25" t="s">
        <v>133</v>
      </c>
      <c r="B17" s="6" t="s">
        <v>134</v>
      </c>
      <c r="C17" s="6" t="s">
        <v>135</v>
      </c>
    </row>
    <row r="18" customFormat="false" ht="45.75" hidden="false" customHeight="true" outlineLevel="0" collapsed="false">
      <c r="A18" s="25" t="s">
        <v>136</v>
      </c>
      <c r="B18" s="6" t="s">
        <v>137</v>
      </c>
      <c r="C18" s="6" t="s">
        <v>138</v>
      </c>
    </row>
    <row r="20" customFormat="false" ht="21.75" hidden="false" customHeight="true" outlineLevel="0" collapsed="false">
      <c r="A20" s="23" t="s">
        <v>139</v>
      </c>
      <c r="B20" s="23"/>
      <c r="C20" s="23"/>
    </row>
    <row r="21" customFormat="false" ht="15" hidden="false" customHeight="true" outlineLevel="0" collapsed="false">
      <c r="A21" s="24" t="s">
        <v>110</v>
      </c>
      <c r="B21" s="24" t="s">
        <v>111</v>
      </c>
      <c r="C21" s="24" t="s">
        <v>112</v>
      </c>
    </row>
    <row r="22" customFormat="false" ht="15" hidden="false" customHeight="true" outlineLevel="0" collapsed="false">
      <c r="A22" s="25" t="s">
        <v>140</v>
      </c>
      <c r="B22" s="6" t="s">
        <v>141</v>
      </c>
      <c r="C22" s="6" t="s">
        <v>142</v>
      </c>
    </row>
    <row r="23" customFormat="false" ht="15" hidden="false" customHeight="true" outlineLevel="0" collapsed="false">
      <c r="A23" s="25" t="s">
        <v>143</v>
      </c>
      <c r="B23" s="6" t="s">
        <v>144</v>
      </c>
      <c r="C23" s="6" t="s">
        <v>145</v>
      </c>
    </row>
    <row r="24" customFormat="false" ht="15" hidden="false" customHeight="true" outlineLevel="0" collapsed="false">
      <c r="A24" s="25" t="s">
        <v>146</v>
      </c>
      <c r="B24" s="6" t="s">
        <v>147</v>
      </c>
      <c r="C24" s="6" t="s">
        <v>142</v>
      </c>
    </row>
    <row r="25" customFormat="false" ht="23.25" hidden="false" customHeight="true" outlineLevel="0" collapsed="false">
      <c r="A25" s="25" t="s">
        <v>89</v>
      </c>
      <c r="B25" s="6" t="s">
        <v>148</v>
      </c>
      <c r="C25" s="6" t="s">
        <v>145</v>
      </c>
    </row>
    <row r="26" customFormat="false" ht="15" hidden="false" customHeight="true" outlineLevel="0" collapsed="false">
      <c r="A26" s="25" t="s">
        <v>149</v>
      </c>
      <c r="B26" s="6" t="s">
        <v>150</v>
      </c>
      <c r="C26" s="6" t="s">
        <v>145</v>
      </c>
    </row>
    <row r="27" customFormat="false" ht="15" hidden="false" customHeight="true" outlineLevel="0" collapsed="false">
      <c r="A27" s="25" t="s">
        <v>151</v>
      </c>
      <c r="B27" s="6" t="s">
        <v>152</v>
      </c>
      <c r="C27" s="6" t="s">
        <v>145</v>
      </c>
    </row>
    <row r="28" customFormat="false" ht="15" hidden="false" customHeight="true" outlineLevel="0" collapsed="false">
      <c r="A28" s="25" t="s">
        <v>153</v>
      </c>
      <c r="B28" s="6" t="s">
        <v>154</v>
      </c>
      <c r="C28" s="6" t="s">
        <v>155</v>
      </c>
    </row>
    <row r="30" customFormat="false" ht="21.75" hidden="false" customHeight="true" outlineLevel="0" collapsed="false">
      <c r="A30" s="23" t="s">
        <v>156</v>
      </c>
      <c r="B30" s="23"/>
      <c r="C30" s="23"/>
    </row>
    <row r="31" customFormat="false" ht="15" hidden="false" customHeight="true" outlineLevel="0" collapsed="false">
      <c r="A31" s="24" t="s">
        <v>110</v>
      </c>
      <c r="B31" s="24" t="s">
        <v>111</v>
      </c>
      <c r="C31" s="24" t="s">
        <v>112</v>
      </c>
    </row>
    <row r="32" customFormat="false" ht="45.75" hidden="false" customHeight="true" outlineLevel="0" collapsed="false">
      <c r="A32" s="25" t="s">
        <v>157</v>
      </c>
      <c r="B32" s="6" t="s">
        <v>158</v>
      </c>
      <c r="C32" s="6" t="s">
        <v>159</v>
      </c>
    </row>
    <row r="33" customFormat="false" ht="34.5" hidden="false" customHeight="true" outlineLevel="0" collapsed="false">
      <c r="A33" s="25" t="s">
        <v>160</v>
      </c>
      <c r="B33" s="6" t="s">
        <v>161</v>
      </c>
      <c r="C33" s="6" t="s">
        <v>162</v>
      </c>
    </row>
    <row r="34" customFormat="false" ht="34.5" hidden="false" customHeight="true" outlineLevel="0" collapsed="false">
      <c r="A34" s="25" t="s">
        <v>163</v>
      </c>
      <c r="B34" s="6" t="s">
        <v>164</v>
      </c>
      <c r="C34" s="6" t="s">
        <v>165</v>
      </c>
    </row>
    <row r="35" customFormat="false" ht="23.25" hidden="false" customHeight="true" outlineLevel="0" collapsed="false">
      <c r="A35" s="25" t="s">
        <v>166</v>
      </c>
      <c r="B35" s="6" t="s">
        <v>167</v>
      </c>
      <c r="C35" s="6" t="s">
        <v>168</v>
      </c>
    </row>
    <row r="37" customFormat="false" ht="21.75" hidden="false" customHeight="true" outlineLevel="0" collapsed="false">
      <c r="A37" s="23" t="s">
        <v>169</v>
      </c>
      <c r="B37" s="23"/>
      <c r="C37" s="23"/>
    </row>
    <row r="38" customFormat="false" ht="15" hidden="false" customHeight="true" outlineLevel="0" collapsed="false">
      <c r="A38" s="24" t="s">
        <v>110</v>
      </c>
      <c r="B38" s="24" t="s">
        <v>111</v>
      </c>
      <c r="C38" s="24" t="s">
        <v>112</v>
      </c>
    </row>
    <row r="39" customFormat="false" ht="34.5" hidden="false" customHeight="true" outlineLevel="0" collapsed="false">
      <c r="A39" s="25" t="s">
        <v>170</v>
      </c>
      <c r="B39" s="6" t="s">
        <v>171</v>
      </c>
      <c r="C39" s="6" t="s">
        <v>172</v>
      </c>
    </row>
    <row r="40" customFormat="false" ht="23.25" hidden="false" customHeight="true" outlineLevel="0" collapsed="false">
      <c r="A40" s="25" t="s">
        <v>173</v>
      </c>
      <c r="B40" s="6" t="s">
        <v>174</v>
      </c>
      <c r="C40" s="6" t="s">
        <v>172</v>
      </c>
    </row>
    <row r="41" customFormat="false" ht="45.75" hidden="false" customHeight="true" outlineLevel="0" collapsed="false">
      <c r="A41" s="25" t="s">
        <v>175</v>
      </c>
      <c r="B41" s="6" t="s">
        <v>176</v>
      </c>
      <c r="C41" s="6" t="s">
        <v>177</v>
      </c>
    </row>
  </sheetData>
  <mergeCells count="7">
    <mergeCell ref="A1:C1"/>
    <mergeCell ref="A2:C2"/>
    <mergeCell ref="A4:C4"/>
    <mergeCell ref="A11:C11"/>
    <mergeCell ref="A20:C20"/>
    <mergeCell ref="A30:C30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  <col collapsed="false" customWidth="true" hidden="false" outlineLevel="0" max="3" min="3" style="1" width="8"/>
  </cols>
  <sheetData>
    <row r="1" customFormat="false" ht="27.75" hidden="false" customHeight="true" outlineLevel="0" collapsed="false">
      <c r="A1" s="2" t="s">
        <v>178</v>
      </c>
      <c r="B1" s="2"/>
      <c r="C1" s="2"/>
    </row>
    <row r="2" customFormat="false" ht="15" hidden="false" customHeight="true" outlineLevel="0" collapsed="false">
      <c r="A2" s="3" t="s">
        <v>179</v>
      </c>
      <c r="B2" s="3"/>
      <c r="C2" s="3"/>
    </row>
    <row r="4" customFormat="false" ht="25.5" hidden="false" customHeight="true" outlineLevel="0" collapsed="false">
      <c r="A4" s="24" t="s">
        <v>180</v>
      </c>
      <c r="B4" s="24" t="s">
        <v>181</v>
      </c>
      <c r="C4" s="24" t="s">
        <v>182</v>
      </c>
    </row>
    <row r="5" customFormat="false" ht="17.25" hidden="false" customHeight="true" outlineLevel="0" collapsed="false">
      <c r="A5" s="26" t="s">
        <v>183</v>
      </c>
      <c r="B5" s="27" t="s">
        <v>184</v>
      </c>
      <c r="C5" s="28" t="s">
        <v>185</v>
      </c>
    </row>
    <row r="6" customFormat="false" ht="17.25" hidden="false" customHeight="true" outlineLevel="0" collapsed="false">
      <c r="A6" s="26" t="s">
        <v>183</v>
      </c>
      <c r="B6" s="27" t="s">
        <v>186</v>
      </c>
      <c r="C6" s="28" t="s">
        <v>185</v>
      </c>
    </row>
    <row r="7" customFormat="false" ht="17.25" hidden="false" customHeight="true" outlineLevel="0" collapsed="false">
      <c r="A7" s="26" t="s">
        <v>183</v>
      </c>
      <c r="B7" s="27" t="s">
        <v>187</v>
      </c>
      <c r="C7" s="28" t="s">
        <v>185</v>
      </c>
    </row>
    <row r="8" customFormat="false" ht="17.25" hidden="false" customHeight="true" outlineLevel="0" collapsed="false">
      <c r="A8" s="26" t="s">
        <v>12</v>
      </c>
      <c r="B8" s="27" t="s">
        <v>188</v>
      </c>
      <c r="C8" s="28" t="s">
        <v>185</v>
      </c>
    </row>
    <row r="9" customFormat="false" ht="17.25" hidden="false" customHeight="true" outlineLevel="0" collapsed="false">
      <c r="A9" s="26" t="s">
        <v>17</v>
      </c>
      <c r="B9" s="27" t="s">
        <v>189</v>
      </c>
      <c r="C9" s="28" t="s">
        <v>185</v>
      </c>
    </row>
    <row r="10" customFormat="false" ht="17.25" hidden="false" customHeight="true" outlineLevel="0" collapsed="false">
      <c r="A10" s="26" t="s">
        <v>190</v>
      </c>
      <c r="B10" s="27" t="s">
        <v>191</v>
      </c>
      <c r="C10" s="28" t="s">
        <v>185</v>
      </c>
    </row>
    <row r="11" customFormat="false" ht="17.25" hidden="false" customHeight="true" outlineLevel="0" collapsed="false">
      <c r="A11" s="26" t="s">
        <v>190</v>
      </c>
      <c r="B11" s="27" t="s">
        <v>192</v>
      </c>
      <c r="C11" s="28" t="s">
        <v>185</v>
      </c>
    </row>
    <row r="12" customFormat="false" ht="17.25" hidden="false" customHeight="true" outlineLevel="0" collapsed="false">
      <c r="A12" s="26" t="s">
        <v>190</v>
      </c>
      <c r="B12" s="27" t="s">
        <v>193</v>
      </c>
      <c r="C12" s="28" t="s">
        <v>185</v>
      </c>
    </row>
    <row r="13" customFormat="false" ht="17.25" hidden="false" customHeight="true" outlineLevel="0" collapsed="false">
      <c r="A13" s="26" t="s">
        <v>194</v>
      </c>
      <c r="B13" s="27" t="s">
        <v>195</v>
      </c>
      <c r="C13" s="28" t="s">
        <v>185</v>
      </c>
    </row>
    <row r="14" customFormat="false" ht="17.25" hidden="false" customHeight="true" outlineLevel="0" collapsed="false">
      <c r="A14" s="26" t="s">
        <v>194</v>
      </c>
      <c r="B14" s="27" t="s">
        <v>196</v>
      </c>
      <c r="C14" s="28" t="s">
        <v>185</v>
      </c>
    </row>
    <row r="15" customFormat="false" ht="17.25" hidden="false" customHeight="true" outlineLevel="0" collapsed="false">
      <c r="A15" s="26" t="s">
        <v>194</v>
      </c>
      <c r="B15" s="27" t="s">
        <v>197</v>
      </c>
      <c r="C15" s="28" t="s">
        <v>185</v>
      </c>
    </row>
    <row r="16" customFormat="false" ht="17.25" hidden="false" customHeight="true" outlineLevel="0" collapsed="false">
      <c r="A16" s="26" t="s">
        <v>198</v>
      </c>
      <c r="B16" s="27" t="s">
        <v>199</v>
      </c>
      <c r="C16" s="28" t="s">
        <v>185</v>
      </c>
    </row>
    <row r="17" customFormat="false" ht="17.25" hidden="false" customHeight="true" outlineLevel="0" collapsed="false">
      <c r="A17" s="26" t="s">
        <v>198</v>
      </c>
      <c r="B17" s="27" t="s">
        <v>200</v>
      </c>
      <c r="C17" s="28" t="s">
        <v>185</v>
      </c>
    </row>
    <row r="18" customFormat="false" ht="17.25" hidden="false" customHeight="true" outlineLevel="0" collapsed="false">
      <c r="A18" s="26" t="s">
        <v>201</v>
      </c>
      <c r="B18" s="27" t="s">
        <v>202</v>
      </c>
      <c r="C18" s="28" t="s">
        <v>185</v>
      </c>
    </row>
    <row r="19" customFormat="false" ht="17.25" hidden="false" customHeight="true" outlineLevel="0" collapsed="false">
      <c r="A19" s="26" t="s">
        <v>203</v>
      </c>
      <c r="B19" s="27" t="s">
        <v>204</v>
      </c>
      <c r="C19" s="28" t="s">
        <v>185</v>
      </c>
    </row>
    <row r="20" customFormat="false" ht="17.25" hidden="false" customHeight="true" outlineLevel="0" collapsed="false">
      <c r="A20" s="26" t="s">
        <v>205</v>
      </c>
      <c r="B20" s="27" t="s">
        <v>206</v>
      </c>
      <c r="C20" s="28" t="s">
        <v>185</v>
      </c>
    </row>
    <row r="21" customFormat="false" ht="17.25" hidden="false" customHeight="true" outlineLevel="0" collapsed="false">
      <c r="A21" s="26" t="s">
        <v>205</v>
      </c>
      <c r="B21" s="27" t="s">
        <v>207</v>
      </c>
      <c r="C21" s="28" t="s">
        <v>185</v>
      </c>
    </row>
    <row r="22" customFormat="false" ht="17.25" hidden="false" customHeight="true" outlineLevel="0" collapsed="false">
      <c r="A22" s="26" t="s">
        <v>208</v>
      </c>
      <c r="B22" s="27" t="s">
        <v>209</v>
      </c>
      <c r="C22" s="28" t="s">
        <v>185</v>
      </c>
    </row>
    <row r="23" customFormat="false" ht="17.25" hidden="false" customHeight="true" outlineLevel="0" collapsed="false">
      <c r="A23" s="26" t="s">
        <v>81</v>
      </c>
      <c r="B23" s="27" t="s">
        <v>210</v>
      </c>
      <c r="C23" s="28" t="s">
        <v>185</v>
      </c>
    </row>
    <row r="24" customFormat="false" ht="17.25" hidden="false" customHeight="true" outlineLevel="0" collapsed="false">
      <c r="A24" s="26" t="s">
        <v>211</v>
      </c>
      <c r="B24" s="27" t="s">
        <v>212</v>
      </c>
      <c r="C24" s="28" t="s">
        <v>185</v>
      </c>
    </row>
    <row r="25" customFormat="false" ht="17.25" hidden="false" customHeight="true" outlineLevel="0" collapsed="false">
      <c r="A25" s="26" t="s">
        <v>211</v>
      </c>
      <c r="B25" s="27" t="s">
        <v>213</v>
      </c>
      <c r="C25" s="28" t="s">
        <v>185</v>
      </c>
    </row>
    <row r="26" customFormat="false" ht="17.25" hidden="false" customHeight="true" outlineLevel="0" collapsed="false">
      <c r="A26" s="26" t="s">
        <v>214</v>
      </c>
      <c r="B26" s="27" t="s">
        <v>215</v>
      </c>
      <c r="C26" s="28" t="s">
        <v>185</v>
      </c>
    </row>
    <row r="27" customFormat="false" ht="17.25" hidden="false" customHeight="true" outlineLevel="0" collapsed="false">
      <c r="A27" s="26" t="s">
        <v>216</v>
      </c>
      <c r="B27" s="27" t="s">
        <v>217</v>
      </c>
      <c r="C27" s="28" t="s">
        <v>185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2026-04-30T19:22:23Z</dcterms:created>
  <dc:creator>openpyxl</dc:creator>
  <dc:description/>
  <dc:language>en-US</dc:language>
  <cp:lastModifiedBy/>
  <dcterms:modified xsi:type="dcterms:W3CDTF">2026-06-18T20:16:53Z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